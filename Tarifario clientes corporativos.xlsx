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0925b7c2ae613a/Escritorio/erp transport/erp-transporte/"/>
    </mc:Choice>
  </mc:AlternateContent>
  <xr:revisionPtr revIDLastSave="41" documentId="8_{ABCAA319-667B-471A-B364-0652B940BE9A}" xr6:coauthVersionLast="47" xr6:coauthVersionMax="47" xr10:uidLastSave="{E2E4128A-D4DF-4A02-B2C1-8E2C55E1EC38}"/>
  <bookViews>
    <workbookView xWindow="-103" yWindow="-103" windowWidth="22149" windowHeight="13200" xr2:uid="{5EFC2CD4-9781-4F8B-82C0-4854A9D23DCF}"/>
  </bookViews>
  <sheets>
    <sheet name="BACKUS" sheetId="1" r:id="rId1"/>
    <sheet name="Lindley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2" l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5" i="2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L4" i="1"/>
  <c r="K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J4" i="1"/>
  <c r="I4" i="1"/>
</calcChain>
</file>

<file path=xl/sharedStrings.xml><?xml version="1.0" encoding="utf-8"?>
<sst xmlns="http://schemas.openxmlformats.org/spreadsheetml/2006/main" count="93" uniqueCount="51">
  <si>
    <t>ORIGEN</t>
  </si>
  <si>
    <t>DESTINO</t>
  </si>
  <si>
    <t>PUCALLPA</t>
  </si>
  <si>
    <t>AGUAYTIA</t>
  </si>
  <si>
    <t>TINGOMARIA</t>
  </si>
  <si>
    <t>TOCACHE</t>
  </si>
  <si>
    <t>HUANUCO OLARTE</t>
  </si>
  <si>
    <t>HUANUCO CD</t>
  </si>
  <si>
    <t>JUANJUI</t>
  </si>
  <si>
    <t>CHANCHAMAYO</t>
  </si>
  <si>
    <t>TARAPOTO</t>
  </si>
  <si>
    <t>YURIMAGUAS</t>
  </si>
  <si>
    <t>SATIPO</t>
  </si>
  <si>
    <t>MOYOBAMBA</t>
  </si>
  <si>
    <t>BAGUA</t>
  </si>
  <si>
    <t>SAN IGNACIO</t>
  </si>
  <si>
    <t>PUCARA</t>
  </si>
  <si>
    <t>JAEN</t>
  </si>
  <si>
    <t>PUERTO (LOCAL)</t>
  </si>
  <si>
    <t>IDA PT</t>
  </si>
  <si>
    <t>VUELTA VACIO</t>
  </si>
  <si>
    <t>VUELTA ENVASES</t>
  </si>
  <si>
    <t>PT + ENV</t>
  </si>
  <si>
    <t>PT + VACIO</t>
  </si>
  <si>
    <t>Origen</t>
  </si>
  <si>
    <t>Destino</t>
  </si>
  <si>
    <t>Tarifa</t>
  </si>
  <si>
    <t>Planta Pucusana</t>
  </si>
  <si>
    <t>Tarma</t>
  </si>
  <si>
    <t>Cerro Pasco</t>
  </si>
  <si>
    <t>OL Huánuco</t>
  </si>
  <si>
    <t>La Merced</t>
  </si>
  <si>
    <t>Pucallpa</t>
  </si>
  <si>
    <t>Tingo María</t>
  </si>
  <si>
    <t>Tocache</t>
  </si>
  <si>
    <t>Huánuco</t>
  </si>
  <si>
    <t>Satipo</t>
  </si>
  <si>
    <t>OL Pucallpa</t>
  </si>
  <si>
    <t>Huancavelica</t>
  </si>
  <si>
    <t>Planta Trujillo</t>
  </si>
  <si>
    <t>Cusco</t>
  </si>
  <si>
    <t>Planta Cusco</t>
  </si>
  <si>
    <t>OL Cusco</t>
  </si>
  <si>
    <t>Planta Arequipa</t>
  </si>
  <si>
    <t>Arequipa</t>
  </si>
  <si>
    <t>OL Juliaca</t>
  </si>
  <si>
    <t>OL Arequipa</t>
  </si>
  <si>
    <t>Juliaca</t>
  </si>
  <si>
    <t>BRMS</t>
  </si>
  <si>
    <t>TERCEROS</t>
  </si>
  <si>
    <t>CHANCHAPOYAS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</si>
</sst>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1" xfId="1" applyNumberFormat="1" applyFont="1" applyBorder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/>
    <xf numFmtId="164" fontId="2" fillId="2" borderId="1" xfId="1" applyNumberFormat="1" applyFont="1" applyFill="1" applyBorder="1"/>
    <xf numFmtId="1" fontId="5" fillId="3" borderId="1" xfId="0" applyNumberFormat="1" applyFont="1" applyFill="1" applyBorder="1"/>
    <xf numFmtId="4" fontId="3" fillId="4" borderId="1" xfId="0" applyNumberFormat="1" applyFont="1" applyFill="1" applyBorder="1" applyAlignment="1">
      <alignment horizontal="center" vertical="center"/>
    </xf>
    <xf numFmtId="4" fontId="2" fillId="4" borderId="1" xfId="0" quotePrefix="1" applyNumberFormat="1" applyFont="1" applyFill="1" applyBorder="1" applyAlignment="1">
      <alignment horizontal="center"/>
    </xf>
    <xf numFmtId="0" fontId="5" fillId="3" borderId="1" xfId="0" applyFont="1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5FA-4DD2-499D-AB37-6FEEEAE58A20}">
  <dimension ref="D1:L20"/>
  <sheetViews>
    <sheetView tabSelected="1" workbookViewId="0">
      <selection activeCell="K13" sqref="K13"/>
    </sheetView>
  </sheetViews>
  <sheetFormatPr defaultRowHeight="14.6" x14ac:dyDescent="0.4"/>
  <cols>
    <col min="4" max="4" width="9.4609375" bestFit="1" customWidth="1"/>
    <col min="5" max="5" width="16.23046875" bestFit="1" customWidth="1"/>
    <col min="6" max="6" width="10.15234375" customWidth="1"/>
    <col min="7" max="7" width="15.23046875" customWidth="1"/>
    <col min="8" max="8" width="12.69140625" customWidth="1"/>
    <col min="9" max="10" width="11.15234375" customWidth="1"/>
  </cols>
  <sheetData>
    <row r="1" spans="4:12" x14ac:dyDescent="0.4">
      <c r="F1" s="14" t="s">
        <v>48</v>
      </c>
      <c r="G1" s="14"/>
      <c r="H1" s="14"/>
      <c r="I1" s="14"/>
      <c r="J1" s="14"/>
      <c r="K1" s="14" t="s">
        <v>49</v>
      </c>
      <c r="L1" s="14"/>
    </row>
    <row r="2" spans="4:12" x14ac:dyDescent="0.4">
      <c r="F2" s="15"/>
      <c r="G2" s="15"/>
      <c r="H2" s="15"/>
      <c r="I2" s="15"/>
      <c r="J2" s="15"/>
      <c r="K2" s="14"/>
      <c r="L2" s="14"/>
    </row>
    <row r="3" spans="4:12" x14ac:dyDescent="0.4">
      <c r="D3" s="2" t="s">
        <v>0</v>
      </c>
      <c r="E3" s="2" t="s">
        <v>1</v>
      </c>
      <c r="F3" s="2" t="s">
        <v>19</v>
      </c>
      <c r="G3" s="2" t="s">
        <v>21</v>
      </c>
      <c r="H3" s="2" t="s">
        <v>20</v>
      </c>
      <c r="I3" s="2" t="s">
        <v>22</v>
      </c>
      <c r="J3" s="2" t="s">
        <v>23</v>
      </c>
      <c r="K3" s="2" t="s">
        <v>22</v>
      </c>
      <c r="L3" s="2" t="s">
        <v>23</v>
      </c>
    </row>
    <row r="4" spans="4:12" ht="15.9" x14ac:dyDescent="0.45">
      <c r="D4" s="3" t="s">
        <v>2</v>
      </c>
      <c r="E4" s="3" t="s">
        <v>3</v>
      </c>
      <c r="F4" s="1">
        <v>1534.3126999999997</v>
      </c>
      <c r="G4" s="1">
        <v>1534.3126999999997</v>
      </c>
      <c r="H4" s="1">
        <v>1534.3126999999997</v>
      </c>
      <c r="I4" s="9">
        <f>+F4+G4</f>
        <v>3068.6253999999994</v>
      </c>
      <c r="J4" s="1">
        <f>+F4+H4</f>
        <v>3068.6253999999994</v>
      </c>
      <c r="K4" s="10">
        <f>+I4*0.85</f>
        <v>2608.3315899999993</v>
      </c>
      <c r="L4" s="8">
        <f>+J4*0.85</f>
        <v>2608.3315899999993</v>
      </c>
    </row>
    <row r="5" spans="4:12" ht="15.9" x14ac:dyDescent="0.45">
      <c r="D5" s="3" t="s">
        <v>2</v>
      </c>
      <c r="E5" s="3" t="s">
        <v>4</v>
      </c>
      <c r="F5" s="1">
        <v>2231.2775500000002</v>
      </c>
      <c r="G5" s="1">
        <v>2231.2775500000002</v>
      </c>
      <c r="H5" s="1">
        <v>2036.27755</v>
      </c>
      <c r="I5" s="9">
        <f t="shared" ref="I5:I20" si="0">+F5+G5</f>
        <v>4462.5551000000005</v>
      </c>
      <c r="J5" s="1">
        <f t="shared" ref="J5:J20" si="1">+F5+H5</f>
        <v>4267.5551000000005</v>
      </c>
      <c r="K5" s="10">
        <f t="shared" ref="K5:K20" si="2">+I5*0.85</f>
        <v>3793.1718350000001</v>
      </c>
      <c r="L5" s="8">
        <f t="shared" ref="L5:L20" si="3">+J5*0.85</f>
        <v>3627.4218350000001</v>
      </c>
    </row>
    <row r="6" spans="4:12" ht="15.9" x14ac:dyDescent="0.45">
      <c r="D6" s="3" t="s">
        <v>2</v>
      </c>
      <c r="E6" s="3" t="s">
        <v>5</v>
      </c>
      <c r="F6" s="1">
        <v>3033.7984000000001</v>
      </c>
      <c r="G6" s="1">
        <v>3033.7984000000001</v>
      </c>
      <c r="H6" s="1">
        <v>2861.7984000000001</v>
      </c>
      <c r="I6" s="9">
        <f t="shared" si="0"/>
        <v>6067.5968000000003</v>
      </c>
      <c r="J6" s="1">
        <f t="shared" si="1"/>
        <v>5895.5968000000003</v>
      </c>
      <c r="K6" s="10">
        <f t="shared" si="2"/>
        <v>5157.4572800000005</v>
      </c>
      <c r="L6" s="8">
        <f t="shared" si="3"/>
        <v>5011.2572799999998</v>
      </c>
    </row>
    <row r="7" spans="4:12" ht="15.9" x14ac:dyDescent="0.45">
      <c r="D7" s="3" t="s">
        <v>2</v>
      </c>
      <c r="E7" s="3" t="s">
        <v>6</v>
      </c>
      <c r="F7" s="1">
        <v>2888.4346</v>
      </c>
      <c r="G7" s="1">
        <v>2888.4346</v>
      </c>
      <c r="H7" s="1">
        <v>2728.4346</v>
      </c>
      <c r="I7" s="9">
        <f t="shared" si="0"/>
        <v>5776.8692000000001</v>
      </c>
      <c r="J7" s="1">
        <f t="shared" si="1"/>
        <v>5616.8692000000001</v>
      </c>
      <c r="K7" s="10">
        <f t="shared" si="2"/>
        <v>4910.3388199999999</v>
      </c>
      <c r="L7" s="8">
        <f t="shared" si="3"/>
        <v>4774.3388199999999</v>
      </c>
    </row>
    <row r="8" spans="4:12" ht="15.9" x14ac:dyDescent="0.45">
      <c r="D8" s="3" t="s">
        <v>2</v>
      </c>
      <c r="E8" s="3" t="s">
        <v>7</v>
      </c>
      <c r="F8" s="1">
        <v>2894.1103500000004</v>
      </c>
      <c r="G8" s="1">
        <v>2894.1103500000004</v>
      </c>
      <c r="H8" s="1">
        <v>2734.1103500000004</v>
      </c>
      <c r="I8" s="9">
        <f t="shared" si="0"/>
        <v>5788.2207000000008</v>
      </c>
      <c r="J8" s="1">
        <f t="shared" si="1"/>
        <v>5628.2207000000008</v>
      </c>
      <c r="K8" s="10">
        <f t="shared" si="2"/>
        <v>4919.9875950000005</v>
      </c>
      <c r="L8" s="8">
        <f t="shared" si="3"/>
        <v>4783.9875950000005</v>
      </c>
    </row>
    <row r="9" spans="4:12" ht="15.9" x14ac:dyDescent="0.45">
      <c r="D9" s="3" t="s">
        <v>2</v>
      </c>
      <c r="E9" s="3" t="s">
        <v>8</v>
      </c>
      <c r="F9" s="1">
        <v>4144.6755999999996</v>
      </c>
      <c r="G9" s="1">
        <v>4144.6755999999996</v>
      </c>
      <c r="H9" s="1">
        <v>3474.6755999999996</v>
      </c>
      <c r="I9" s="9">
        <f t="shared" si="0"/>
        <v>8289.3511999999992</v>
      </c>
      <c r="J9" s="1">
        <f t="shared" si="1"/>
        <v>7619.3511999999992</v>
      </c>
      <c r="K9" s="10">
        <f t="shared" si="2"/>
        <v>7045.948519999999</v>
      </c>
      <c r="L9" s="8">
        <f t="shared" si="3"/>
        <v>6476.448519999999</v>
      </c>
    </row>
    <row r="10" spans="4:12" ht="15.9" x14ac:dyDescent="0.45">
      <c r="D10" s="3" t="s">
        <v>2</v>
      </c>
      <c r="E10" s="3" t="s">
        <v>9</v>
      </c>
      <c r="F10" s="1">
        <v>4949.9073500000004</v>
      </c>
      <c r="G10" s="1">
        <v>4949.9073500000004</v>
      </c>
      <c r="H10" s="1">
        <v>4792.9073500000013</v>
      </c>
      <c r="I10" s="9">
        <f t="shared" si="0"/>
        <v>9899.8147000000008</v>
      </c>
      <c r="J10" s="1">
        <f t="shared" si="1"/>
        <v>9742.8147000000026</v>
      </c>
      <c r="K10" s="10">
        <f t="shared" si="2"/>
        <v>8414.8424950000008</v>
      </c>
      <c r="L10" s="8">
        <f t="shared" si="3"/>
        <v>8281.3924950000019</v>
      </c>
    </row>
    <row r="11" spans="4:12" ht="15.9" x14ac:dyDescent="0.45">
      <c r="D11" s="3" t="s">
        <v>2</v>
      </c>
      <c r="E11" s="3" t="s">
        <v>10</v>
      </c>
      <c r="F11" s="1">
        <v>4826.835</v>
      </c>
      <c r="G11" s="1">
        <v>4826.835</v>
      </c>
      <c r="H11" s="1">
        <v>3938.835</v>
      </c>
      <c r="I11" s="9">
        <f t="shared" si="0"/>
        <v>9653.67</v>
      </c>
      <c r="J11" s="1">
        <f t="shared" si="1"/>
        <v>8765.67</v>
      </c>
      <c r="K11" s="10">
        <f t="shared" si="2"/>
        <v>8205.6195000000007</v>
      </c>
      <c r="L11" s="8">
        <f t="shared" si="3"/>
        <v>7450.8194999999996</v>
      </c>
    </row>
    <row r="12" spans="4:12" ht="15.9" x14ac:dyDescent="0.45">
      <c r="D12" s="3" t="s">
        <v>2</v>
      </c>
      <c r="E12" s="3" t="s">
        <v>11</v>
      </c>
      <c r="F12" s="1">
        <v>5753.2950000000001</v>
      </c>
      <c r="G12" s="1">
        <v>5718.2950000000001</v>
      </c>
      <c r="H12" s="1">
        <v>5041.2950000000001</v>
      </c>
      <c r="I12" s="9">
        <f t="shared" si="0"/>
        <v>11471.59</v>
      </c>
      <c r="J12" s="1">
        <f t="shared" si="1"/>
        <v>10794.59</v>
      </c>
      <c r="K12" s="10">
        <f t="shared" si="2"/>
        <v>9750.8515000000007</v>
      </c>
      <c r="L12" s="8">
        <f t="shared" si="3"/>
        <v>9175.4014999999999</v>
      </c>
    </row>
    <row r="13" spans="4:12" ht="15.9" x14ac:dyDescent="0.45">
      <c r="D13" s="3" t="s">
        <v>2</v>
      </c>
      <c r="E13" s="3" t="s">
        <v>12</v>
      </c>
      <c r="F13" s="1">
        <v>5561.6206999999995</v>
      </c>
      <c r="G13" s="1">
        <v>5561.6206999999995</v>
      </c>
      <c r="H13" s="1">
        <v>5207.6206999999995</v>
      </c>
      <c r="I13" s="9">
        <f t="shared" si="0"/>
        <v>11123.241399999999</v>
      </c>
      <c r="J13" s="1">
        <f t="shared" si="1"/>
        <v>10769.241399999999</v>
      </c>
      <c r="K13" s="10">
        <f t="shared" si="2"/>
        <v>9454.755189999998</v>
      </c>
      <c r="L13" s="8">
        <f t="shared" si="3"/>
        <v>9153.8551899999984</v>
      </c>
    </row>
    <row r="14" spans="4:12" ht="15.9" x14ac:dyDescent="0.45">
      <c r="D14" s="3" t="s">
        <v>2</v>
      </c>
      <c r="E14" s="3" t="s">
        <v>13</v>
      </c>
      <c r="F14" s="1">
        <v>6025.67</v>
      </c>
      <c r="G14" s="1">
        <v>5556.67</v>
      </c>
      <c r="H14" s="1">
        <v>5408.67</v>
      </c>
      <c r="I14" s="9">
        <f t="shared" si="0"/>
        <v>11582.34</v>
      </c>
      <c r="J14" s="1">
        <f t="shared" si="1"/>
        <v>11434.34</v>
      </c>
      <c r="K14" s="10">
        <f t="shared" si="2"/>
        <v>9844.9889999999996</v>
      </c>
      <c r="L14" s="8">
        <f t="shared" si="3"/>
        <v>9719.1890000000003</v>
      </c>
    </row>
    <row r="15" spans="4:12" ht="15.9" x14ac:dyDescent="0.45">
      <c r="D15" s="3" t="s">
        <v>2</v>
      </c>
      <c r="E15" s="3" t="s">
        <v>14</v>
      </c>
      <c r="F15" s="1">
        <v>7537</v>
      </c>
      <c r="G15" s="1">
        <v>6662</v>
      </c>
      <c r="H15" s="1">
        <v>5788</v>
      </c>
      <c r="I15" s="9">
        <f t="shared" si="0"/>
        <v>14199</v>
      </c>
      <c r="J15" s="1">
        <f t="shared" si="1"/>
        <v>13325</v>
      </c>
      <c r="K15" s="10">
        <f t="shared" si="2"/>
        <v>12069.15</v>
      </c>
      <c r="L15" s="8">
        <f t="shared" si="3"/>
        <v>11326.25</v>
      </c>
    </row>
    <row r="16" spans="4:12" ht="15.9" x14ac:dyDescent="0.45">
      <c r="D16" s="3" t="s">
        <v>2</v>
      </c>
      <c r="E16" s="3" t="s">
        <v>15</v>
      </c>
      <c r="F16" s="1">
        <v>8713</v>
      </c>
      <c r="G16" s="1">
        <v>7704</v>
      </c>
      <c r="H16" s="1">
        <v>6695</v>
      </c>
      <c r="I16" s="9">
        <f t="shared" si="0"/>
        <v>16417</v>
      </c>
      <c r="J16" s="1">
        <f t="shared" si="1"/>
        <v>15408</v>
      </c>
      <c r="K16" s="10">
        <f t="shared" si="2"/>
        <v>13954.449999999999</v>
      </c>
      <c r="L16" s="8">
        <f t="shared" si="3"/>
        <v>13096.8</v>
      </c>
    </row>
    <row r="17" spans="4:12" ht="15.9" x14ac:dyDescent="0.45">
      <c r="D17" s="3" t="s">
        <v>2</v>
      </c>
      <c r="E17" s="3" t="s">
        <v>16</v>
      </c>
      <c r="F17" s="1">
        <v>8795</v>
      </c>
      <c r="G17" s="1">
        <v>7814</v>
      </c>
      <c r="H17" s="1">
        <v>6834</v>
      </c>
      <c r="I17" s="9">
        <f t="shared" si="0"/>
        <v>16609</v>
      </c>
      <c r="J17" s="1">
        <f t="shared" si="1"/>
        <v>15629</v>
      </c>
      <c r="K17" s="10">
        <f t="shared" si="2"/>
        <v>14117.65</v>
      </c>
      <c r="L17" s="8">
        <f t="shared" si="3"/>
        <v>13284.65</v>
      </c>
    </row>
    <row r="18" spans="4:12" ht="15.9" x14ac:dyDescent="0.45">
      <c r="D18" s="3" t="s">
        <v>2</v>
      </c>
      <c r="E18" s="3" t="s">
        <v>17</v>
      </c>
      <c r="F18" s="1">
        <v>8110</v>
      </c>
      <c r="G18" s="1">
        <v>7174</v>
      </c>
      <c r="H18" s="1">
        <v>6238</v>
      </c>
      <c r="I18" s="9">
        <f t="shared" si="0"/>
        <v>15284</v>
      </c>
      <c r="J18" s="1">
        <f t="shared" si="1"/>
        <v>14348</v>
      </c>
      <c r="K18" s="10">
        <f t="shared" si="2"/>
        <v>12991.4</v>
      </c>
      <c r="L18" s="8">
        <f t="shared" si="3"/>
        <v>12195.8</v>
      </c>
    </row>
    <row r="19" spans="4:12" ht="15.9" x14ac:dyDescent="0.45">
      <c r="D19" s="3" t="s">
        <v>2</v>
      </c>
      <c r="E19" s="3" t="s">
        <v>50</v>
      </c>
      <c r="F19" s="1">
        <v>7403</v>
      </c>
      <c r="G19" s="1">
        <v>6540</v>
      </c>
      <c r="H19" s="1">
        <v>5677</v>
      </c>
      <c r="I19" s="9">
        <f t="shared" si="0"/>
        <v>13943</v>
      </c>
      <c r="J19" s="1">
        <f t="shared" si="1"/>
        <v>13080</v>
      </c>
      <c r="K19" s="10">
        <f t="shared" si="2"/>
        <v>11851.55</v>
      </c>
      <c r="L19" s="8">
        <f t="shared" si="3"/>
        <v>11118</v>
      </c>
    </row>
    <row r="20" spans="4:12" ht="15.9" x14ac:dyDescent="0.45">
      <c r="D20" s="3" t="s">
        <v>2</v>
      </c>
      <c r="E20" s="3" t="s">
        <v>18</v>
      </c>
      <c r="F20" s="1">
        <v>295</v>
      </c>
      <c r="G20" s="1">
        <v>295.40492996524029</v>
      </c>
      <c r="H20" s="1">
        <v>249</v>
      </c>
      <c r="I20" s="9">
        <f t="shared" si="0"/>
        <v>590.40492996524029</v>
      </c>
      <c r="J20" s="1">
        <f t="shared" si="1"/>
        <v>544</v>
      </c>
      <c r="K20" s="10">
        <f t="shared" si="2"/>
        <v>501.84419047045424</v>
      </c>
      <c r="L20" s="8">
        <f t="shared" si="3"/>
        <v>462.4</v>
      </c>
    </row>
  </sheetData>
  <mergeCells count="2">
    <mergeCell ref="F1:J2"/>
    <mergeCell ref="K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704C-66DC-4B22-8D5A-57FCA4605F58}">
  <dimension ref="C3:F25"/>
  <sheetViews>
    <sheetView workbookViewId="0">
      <selection activeCell="J14" sqref="J14"/>
    </sheetView>
  </sheetViews>
  <sheetFormatPr defaultRowHeight="14.6" x14ac:dyDescent="0.4"/>
  <cols>
    <col min="3" max="3" width="14.3828125" bestFit="1" customWidth="1"/>
    <col min="4" max="4" width="13.61328125" bestFit="1" customWidth="1"/>
    <col min="5" max="5" width="0" hidden="1" customWidth="1"/>
  </cols>
  <sheetData>
    <row r="3" spans="3:6" x14ac:dyDescent="0.4">
      <c r="E3" t="s">
        <v>48</v>
      </c>
      <c r="F3" t="s">
        <v>49</v>
      </c>
    </row>
    <row r="4" spans="3:6" x14ac:dyDescent="0.4">
      <c r="C4" s="5" t="s">
        <v>24</v>
      </c>
      <c r="D4" s="5" t="s">
        <v>25</v>
      </c>
      <c r="E4" s="4" t="s">
        <v>26</v>
      </c>
      <c r="F4" s="4" t="s">
        <v>26</v>
      </c>
    </row>
    <row r="5" spans="3:6" ht="15.9" x14ac:dyDescent="0.45">
      <c r="C5" s="6" t="s">
        <v>27</v>
      </c>
      <c r="D5" s="6" t="s">
        <v>28</v>
      </c>
      <c r="E5" s="11">
        <v>4800</v>
      </c>
      <c r="F5" s="13">
        <f>+E5*0.85</f>
        <v>4080</v>
      </c>
    </row>
    <row r="6" spans="3:6" ht="15.9" x14ac:dyDescent="0.45">
      <c r="C6" s="6" t="s">
        <v>27</v>
      </c>
      <c r="D6" s="6" t="s">
        <v>29</v>
      </c>
      <c r="E6" s="11">
        <v>5400</v>
      </c>
      <c r="F6" s="13">
        <f t="shared" ref="F6:F25" si="0">+E6*0.85</f>
        <v>4590</v>
      </c>
    </row>
    <row r="7" spans="3:6" ht="15.9" x14ac:dyDescent="0.45">
      <c r="C7" s="6" t="s">
        <v>27</v>
      </c>
      <c r="D7" s="6" t="s">
        <v>30</v>
      </c>
      <c r="E7" s="11">
        <v>7400</v>
      </c>
      <c r="F7" s="13">
        <f t="shared" si="0"/>
        <v>6290</v>
      </c>
    </row>
    <row r="8" spans="3:6" ht="15.9" x14ac:dyDescent="0.45">
      <c r="C8" s="6" t="s">
        <v>27</v>
      </c>
      <c r="D8" s="6" t="s">
        <v>31</v>
      </c>
      <c r="E8" s="11">
        <v>6000</v>
      </c>
      <c r="F8" s="13">
        <f t="shared" si="0"/>
        <v>5100</v>
      </c>
    </row>
    <row r="9" spans="3:6" ht="15.9" x14ac:dyDescent="0.45">
      <c r="C9" s="6" t="s">
        <v>27</v>
      </c>
      <c r="D9" s="6" t="s">
        <v>32</v>
      </c>
      <c r="E9" s="11">
        <v>11000</v>
      </c>
      <c r="F9" s="13">
        <f t="shared" si="0"/>
        <v>9350</v>
      </c>
    </row>
    <row r="10" spans="3:6" ht="15.9" x14ac:dyDescent="0.45">
      <c r="C10" s="6" t="s">
        <v>27</v>
      </c>
      <c r="D10" s="6" t="s">
        <v>33</v>
      </c>
      <c r="E10" s="11">
        <v>7800</v>
      </c>
      <c r="F10" s="13">
        <f t="shared" si="0"/>
        <v>6630</v>
      </c>
    </row>
    <row r="11" spans="3:6" ht="15.9" x14ac:dyDescent="0.45">
      <c r="C11" s="6" t="s">
        <v>27</v>
      </c>
      <c r="D11" s="6" t="s">
        <v>34</v>
      </c>
      <c r="E11" s="11">
        <v>10500</v>
      </c>
      <c r="F11" s="13">
        <f t="shared" si="0"/>
        <v>8925</v>
      </c>
    </row>
    <row r="12" spans="3:6" ht="15.9" x14ac:dyDescent="0.45">
      <c r="C12" s="6" t="s">
        <v>27</v>
      </c>
      <c r="D12" s="6" t="s">
        <v>35</v>
      </c>
      <c r="E12" s="11">
        <v>7400</v>
      </c>
      <c r="F12" s="13">
        <f t="shared" si="0"/>
        <v>6290</v>
      </c>
    </row>
    <row r="13" spans="3:6" ht="15.9" x14ac:dyDescent="0.45">
      <c r="C13" s="6" t="s">
        <v>27</v>
      </c>
      <c r="D13" s="6" t="s">
        <v>36</v>
      </c>
      <c r="E13" s="11">
        <v>7575</v>
      </c>
      <c r="F13" s="10">
        <f t="shared" si="0"/>
        <v>6438.75</v>
      </c>
    </row>
    <row r="14" spans="3:6" ht="15.9" x14ac:dyDescent="0.45">
      <c r="C14" s="6" t="s">
        <v>27</v>
      </c>
      <c r="D14" s="6" t="s">
        <v>37</v>
      </c>
      <c r="E14" s="11">
        <v>11000</v>
      </c>
      <c r="F14" s="13">
        <f t="shared" si="0"/>
        <v>9350</v>
      </c>
    </row>
    <row r="15" spans="3:6" ht="15.9" x14ac:dyDescent="0.45">
      <c r="C15" s="7" t="s">
        <v>27</v>
      </c>
      <c r="D15" s="7" t="s">
        <v>38</v>
      </c>
      <c r="E15" s="12">
        <v>7100</v>
      </c>
      <c r="F15" s="13">
        <f t="shared" si="0"/>
        <v>6035</v>
      </c>
    </row>
    <row r="16" spans="3:6" ht="15.9" x14ac:dyDescent="0.45">
      <c r="C16" s="7" t="s">
        <v>27</v>
      </c>
      <c r="D16" s="7" t="s">
        <v>39</v>
      </c>
      <c r="E16" s="12">
        <v>6600</v>
      </c>
      <c r="F16" s="13">
        <f t="shared" si="0"/>
        <v>5610</v>
      </c>
    </row>
    <row r="17" spans="3:6" ht="15.9" x14ac:dyDescent="0.45">
      <c r="C17" s="7" t="s">
        <v>27</v>
      </c>
      <c r="D17" s="7" t="s">
        <v>40</v>
      </c>
      <c r="E17" s="12">
        <v>11000</v>
      </c>
      <c r="F17" s="13">
        <f t="shared" si="0"/>
        <v>9350</v>
      </c>
    </row>
    <row r="18" spans="3:6" ht="15.9" x14ac:dyDescent="0.45">
      <c r="C18" s="7" t="s">
        <v>27</v>
      </c>
      <c r="D18" s="7" t="s">
        <v>41</v>
      </c>
      <c r="E18" s="12">
        <v>11000</v>
      </c>
      <c r="F18" s="13">
        <f t="shared" si="0"/>
        <v>9350</v>
      </c>
    </row>
    <row r="19" spans="3:6" ht="15.9" x14ac:dyDescent="0.45">
      <c r="C19" s="7" t="s">
        <v>27</v>
      </c>
      <c r="D19" s="7" t="s">
        <v>42</v>
      </c>
      <c r="E19" s="12">
        <v>11000</v>
      </c>
      <c r="F19" s="13">
        <f t="shared" si="0"/>
        <v>9350</v>
      </c>
    </row>
    <row r="20" spans="3:6" ht="15.9" x14ac:dyDescent="0.45">
      <c r="C20" s="7" t="s">
        <v>27</v>
      </c>
      <c r="D20" s="7" t="s">
        <v>43</v>
      </c>
      <c r="E20" s="12">
        <v>9500</v>
      </c>
      <c r="F20" s="13">
        <f t="shared" si="0"/>
        <v>8075</v>
      </c>
    </row>
    <row r="21" spans="3:6" ht="15.9" x14ac:dyDescent="0.45">
      <c r="C21" s="7" t="s">
        <v>27</v>
      </c>
      <c r="D21" s="7" t="s">
        <v>40</v>
      </c>
      <c r="E21" s="12">
        <v>11000</v>
      </c>
      <c r="F21" s="13">
        <f t="shared" si="0"/>
        <v>9350</v>
      </c>
    </row>
    <row r="22" spans="3:6" ht="15.9" x14ac:dyDescent="0.45">
      <c r="C22" s="7" t="s">
        <v>27</v>
      </c>
      <c r="D22" s="7" t="s">
        <v>44</v>
      </c>
      <c r="E22" s="12">
        <v>9500</v>
      </c>
      <c r="F22" s="13">
        <f t="shared" si="0"/>
        <v>8075</v>
      </c>
    </row>
    <row r="23" spans="3:6" ht="15.9" x14ac:dyDescent="0.45">
      <c r="C23" s="7" t="s">
        <v>27</v>
      </c>
      <c r="D23" s="7" t="s">
        <v>45</v>
      </c>
      <c r="E23" s="12">
        <v>11000</v>
      </c>
      <c r="F23" s="13">
        <f t="shared" si="0"/>
        <v>9350</v>
      </c>
    </row>
    <row r="24" spans="3:6" ht="15.9" x14ac:dyDescent="0.45">
      <c r="C24" s="7" t="s">
        <v>27</v>
      </c>
      <c r="D24" s="7" t="s">
        <v>46</v>
      </c>
      <c r="E24" s="12">
        <v>9500</v>
      </c>
      <c r="F24" s="13">
        <f t="shared" si="0"/>
        <v>8075</v>
      </c>
    </row>
    <row r="25" spans="3:6" ht="15.9" x14ac:dyDescent="0.45">
      <c r="C25" s="7" t="s">
        <v>27</v>
      </c>
      <c r="D25" s="7" t="s">
        <v>47</v>
      </c>
      <c r="E25" s="12">
        <v>11000</v>
      </c>
      <c r="F25" s="13">
        <f t="shared" si="0"/>
        <v>9350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CDB7-C614-4BCE-A7C4-AF3355E2316B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BACKUS</vt:lpstr>
      <vt:lpstr>Lindley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Braulio contreras</dc:creator>
  <cp:lastModifiedBy>Braulio contreras</cp:lastModifiedBy>
  <dcterms:created xsi:type="dcterms:W3CDTF">2026-09-15T16:18:41Z</dcterms:created>
  <dcterms:modified xsi:type="dcterms:W3CDTF">2026-09-15T17:19:23Z</dcterms:modified>
</cp:coreProperties>
</file>